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margolis/Desktop/FISH 460/"/>
    </mc:Choice>
  </mc:AlternateContent>
  <xr:revisionPtr revIDLastSave="0" documentId="13_ncr:1_{2B8C9740-8659-DF43-9676-63AC5D8BB6DF}" xr6:coauthVersionLast="47" xr6:coauthVersionMax="47" xr10:uidLastSave="{00000000-0000-0000-0000-000000000000}"/>
  <bookViews>
    <workbookView xWindow="0" yWindow="740" windowWidth="29400" windowHeight="16640" activeTab="1" xr2:uid="{88932AC6-F55C-C040-B70E-D603A3CF831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3" i="1"/>
  <c r="E54" i="1"/>
  <c r="E55" i="1"/>
  <c r="E51" i="1"/>
  <c r="E50" i="1"/>
  <c r="E47" i="1"/>
  <c r="E49" i="1" s="1"/>
  <c r="E46" i="1"/>
  <c r="E45" i="1"/>
  <c r="E44" i="1"/>
  <c r="E43" i="1"/>
  <c r="E42" i="1"/>
  <c r="G57" i="1"/>
  <c r="F57" i="1"/>
  <c r="G56" i="1"/>
  <c r="F56" i="1"/>
  <c r="G49" i="1"/>
  <c r="F49" i="1"/>
  <c r="G48" i="1"/>
  <c r="F48" i="1"/>
  <c r="F28" i="1"/>
  <c r="G28" i="1"/>
  <c r="E28" i="1"/>
  <c r="F36" i="1"/>
  <c r="G36" i="1"/>
  <c r="E36" i="1"/>
  <c r="F27" i="1"/>
  <c r="G27" i="1"/>
  <c r="E27" i="1"/>
  <c r="F35" i="1"/>
  <c r="G35" i="1"/>
  <c r="E35" i="1"/>
  <c r="K3" i="1"/>
  <c r="K4" i="1"/>
  <c r="K5" i="1"/>
  <c r="K6" i="1"/>
  <c r="K7" i="1"/>
  <c r="K8" i="1"/>
  <c r="K9" i="1"/>
  <c r="K10" i="1"/>
  <c r="K11" i="1"/>
  <c r="K12" i="1"/>
  <c r="K13" i="1"/>
  <c r="K2" i="1"/>
  <c r="H3" i="1"/>
  <c r="H4" i="1"/>
  <c r="H5" i="1"/>
  <c r="H6" i="1"/>
  <c r="H7" i="1"/>
  <c r="H8" i="1"/>
  <c r="H9" i="1"/>
  <c r="H10" i="1"/>
  <c r="H11" i="1"/>
  <c r="H12" i="1"/>
  <c r="H13" i="1"/>
  <c r="H2" i="1"/>
  <c r="E3" i="1"/>
  <c r="E4" i="1"/>
  <c r="E5" i="1"/>
  <c r="E6" i="1"/>
  <c r="E7" i="1"/>
  <c r="E8" i="1"/>
  <c r="E9" i="1"/>
  <c r="E10" i="1"/>
  <c r="E11" i="1"/>
  <c r="E12" i="1"/>
  <c r="E13" i="1"/>
  <c r="E2" i="1"/>
  <c r="E48" i="1" l="1"/>
  <c r="E57" i="1"/>
  <c r="E56" i="1"/>
</calcChain>
</file>

<file path=xl/sharedStrings.xml><?xml version="1.0" encoding="utf-8"?>
<sst xmlns="http://schemas.openxmlformats.org/spreadsheetml/2006/main" count="176" uniqueCount="83">
  <si>
    <t>crab_id</t>
  </si>
  <si>
    <t>species</t>
  </si>
  <si>
    <t>T0_well</t>
  </si>
  <si>
    <t>T1_well</t>
  </si>
  <si>
    <t>mass_g</t>
  </si>
  <si>
    <t>temp_C</t>
  </si>
  <si>
    <t>sal_ppt</t>
  </si>
  <si>
    <t>date</t>
  </si>
  <si>
    <t>Blue 6</t>
  </si>
  <si>
    <t>hemigrapsus-oregonensis</t>
  </si>
  <si>
    <t>A1</t>
  </si>
  <si>
    <t>B1</t>
  </si>
  <si>
    <t>C1</t>
  </si>
  <si>
    <t>Blue 8</t>
  </si>
  <si>
    <t>A2</t>
  </si>
  <si>
    <t>B2</t>
  </si>
  <si>
    <t>C2</t>
  </si>
  <si>
    <t>Blue 12</t>
  </si>
  <si>
    <t>A3</t>
  </si>
  <si>
    <t>B3</t>
  </si>
  <si>
    <t>C3</t>
  </si>
  <si>
    <t>Blue 13</t>
  </si>
  <si>
    <t>A4</t>
  </si>
  <si>
    <t>B4</t>
  </si>
  <si>
    <t>C4</t>
  </si>
  <si>
    <t>Blue 14</t>
  </si>
  <si>
    <t>A5</t>
  </si>
  <si>
    <t>B5</t>
  </si>
  <si>
    <t>C5</t>
  </si>
  <si>
    <t>Blue 15</t>
  </si>
  <si>
    <t>A6</t>
  </si>
  <si>
    <t>B6</t>
  </si>
  <si>
    <t>C6</t>
  </si>
  <si>
    <t>Yellow 30</t>
  </si>
  <si>
    <t>A7</t>
  </si>
  <si>
    <t>B7</t>
  </si>
  <si>
    <t>C7</t>
  </si>
  <si>
    <t>Yellow 29</t>
  </si>
  <si>
    <t>A8</t>
  </si>
  <si>
    <t>B8</t>
  </si>
  <si>
    <t>C8</t>
  </si>
  <si>
    <t>Yellow 27</t>
  </si>
  <si>
    <t>A9</t>
  </si>
  <si>
    <t>B9</t>
  </si>
  <si>
    <t>C9</t>
  </si>
  <si>
    <t>Yellow 19</t>
  </si>
  <si>
    <t>A10</t>
  </si>
  <si>
    <t>B10</t>
  </si>
  <si>
    <t>C10</t>
  </si>
  <si>
    <t>Yellow 16</t>
  </si>
  <si>
    <t>A11</t>
  </si>
  <si>
    <t>B11</t>
  </si>
  <si>
    <t>C11</t>
  </si>
  <si>
    <t>Yellow 14</t>
  </si>
  <si>
    <t>A12</t>
  </si>
  <si>
    <t>B12</t>
  </si>
  <si>
    <t>C12</t>
  </si>
  <si>
    <t>blank 1</t>
  </si>
  <si>
    <t>NA</t>
  </si>
  <si>
    <t>E1</t>
  </si>
  <si>
    <t>F1</t>
  </si>
  <si>
    <t>G1</t>
  </si>
  <si>
    <t>blank 2 (by control)</t>
  </si>
  <si>
    <t>E2</t>
  </si>
  <si>
    <t>F2</t>
  </si>
  <si>
    <t>G2</t>
  </si>
  <si>
    <t>T_0 Result</t>
  </si>
  <si>
    <t>T1_result</t>
  </si>
  <si>
    <t xml:space="preserve">T_0 - blk </t>
  </si>
  <si>
    <t xml:space="preserve">T_1- blk </t>
  </si>
  <si>
    <t>T2_well</t>
  </si>
  <si>
    <t>T_2Result</t>
  </si>
  <si>
    <t xml:space="preserve">T_2 - blk </t>
  </si>
  <si>
    <t>Treatment Avg</t>
  </si>
  <si>
    <t>Control Avg</t>
  </si>
  <si>
    <t>Treatment Stdev</t>
  </si>
  <si>
    <t xml:space="preserve">Control stdev </t>
  </si>
  <si>
    <t>(T_0 - blk)/mass</t>
  </si>
  <si>
    <t>(T_1 - blk)/mass</t>
  </si>
  <si>
    <t>(T_2 - blk)/mass</t>
  </si>
  <si>
    <t>T_1</t>
  </si>
  <si>
    <t>T_2</t>
  </si>
  <si>
    <t>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</si>
</sst>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7382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Respiration overtime not</a:t>
            </a:r>
            <a:r>
              <a:rPr lang="en-US" baseline="0"/>
              <a:t> zeroed by crab weight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Sheet1!$K$35</c:f>
              <c:strCache>
                <c:ptCount val="1"/>
                <c:pt idx="0">
                  <c:v>Treatment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Sheet1!$L$34:$N$34</c:f>
              <c:strCache>
                <c:ptCount val="3"/>
                <c:pt idx="0">
                  <c:v>T_0 - blk </c:v>
                </c:pt>
                <c:pt idx="1">
                  <c:v>T_1- blk </c:v>
                </c:pt>
                <c:pt idx="2">
                  <c:v>T_2 - blk </c:v>
                </c:pt>
              </c:strCache>
            </c:strRef>
          </c:cat>
          <c:val>
            <c:numRef>
              <c:f>Sheet1!$L$35:$N$35</c:f>
              <c:numCache>
                <c:formatCode>General</c:formatCode>
                <c:ptCount val="3"/>
                <c:pt idx="0">
                  <c:v>-32.833333333333336</c:v>
                </c:pt>
                <c:pt idx="1">
                  <c:v>2502.8333333333335</c:v>
                </c:pt>
                <c:pt idx="2">
                  <c:v>5670.833333333333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0-9A4B-8E51-EB94E6F08405}"/>
            </c:ext>
          </c:extLst>
        </c:ser>
        <c:ser>
          <c:idx val="1"/>
          <c:order val="1"/>
          <c:tx>
            <c:strRef>
              <c:f>Sheet1!$K$36</c:f>
              <c:strCache>
                <c:ptCount val="1"/>
                <c:pt idx="0">
                  <c:v>Control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Sheet1!$L$34:$N$34</c:f>
              <c:strCache>
                <c:ptCount val="3"/>
                <c:pt idx="0">
                  <c:v>T_0 - blk </c:v>
                </c:pt>
                <c:pt idx="1">
                  <c:v>T_1- blk </c:v>
                </c:pt>
                <c:pt idx="2">
                  <c:v>T_2 - blk </c:v>
                </c:pt>
              </c:strCache>
            </c:strRef>
          </c:cat>
          <c:val>
            <c:numRef>
              <c:f>Sheet1!$L$36:$N$36</c:f>
              <c:numCache>
                <c:formatCode>General</c:formatCode>
                <c:ptCount val="3"/>
                <c:pt idx="0">
                  <c:v>1.8333333333333333</c:v>
                </c:pt>
                <c:pt idx="1">
                  <c:v>3331.1666666666665</c:v>
                </c:pt>
                <c:pt idx="2">
                  <c:v>7373.333333333333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0-9A4B-8E51-EB94E6F08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479104"/>
        <c:axId val="884480816"/>
      </c:lineChart>
      <c:catAx>
        <c:axId val="884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80816"/>
        <c:crosses val="autoZero"/>
        <c:auto val="1"/>
        <c:lblAlgn val="ctr"/>
        <c:lblOffset val="100"/>
        <c:noMultiLvlLbl val="0"/>
      </c:catAx>
      <c:valAx>
        <c:axId val="8844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Respiration overtime zeroed</a:t>
            </a:r>
            <a:r>
              <a:rPr lang="en-US" baseline="0"/>
              <a:t> by crab weight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Sheet1!$J$44</c:f>
              <c:strCache>
                <c:ptCount val="1"/>
                <c:pt idx="0">
                  <c:v>Treatment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Sheet1!$E$49:$G$49</c:f>
                <c:numCache>
                  <c:formatCode>General</c:formatCode>
                  <c:ptCount val="3"/>
                  <c:pt idx="0">
                    <c:v>17.609518122983605</c:v>
                  </c:pt>
                  <c:pt idx="1">
                    <c:v>1344.8821014002183</c:v>
                  </c:pt>
                  <c:pt idx="2">
                    <c:v>3022.9131258881175</c:v>
                  </c:pt>
                </c:numCache>
              </c:numRef>
            </c:plus>
            <c:minus>
              <c:numRef>
                <c:f>Sheet1!$E$49:$G$49</c:f>
                <c:numCache>
                  <c:formatCode>General</c:formatCode>
                  <c:ptCount val="3"/>
                  <c:pt idx="0">
                    <c:v>17.609518122983605</c:v>
                  </c:pt>
                  <c:pt idx="1">
                    <c:v>1344.8821014002183</c:v>
                  </c:pt>
                  <c:pt idx="2">
                    <c:v>3022.9131258881175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Sheet1!$K$43:$M$43</c:f>
              <c:strCache>
                <c:ptCount val="3"/>
                <c:pt idx="0">
                  <c:v>(T_0 - blk)/mass</c:v>
                </c:pt>
                <c:pt idx="1">
                  <c:v>(T_1 - blk)/mass</c:v>
                </c:pt>
                <c:pt idx="2">
                  <c:v>(T_2 - blk)/mass</c:v>
                </c:pt>
              </c:strCache>
            </c:strRef>
          </c:cat>
          <c:val>
            <c:numRef>
              <c:f>Sheet1!$K$44:$M$44</c:f>
              <c:numCache>
                <c:formatCode>General</c:formatCode>
                <c:ptCount val="3"/>
                <c:pt idx="0">
                  <c:v>-18.615903913653568</c:v>
                </c:pt>
                <c:pt idx="1">
                  <c:v>2502.8333333333335</c:v>
                </c:pt>
                <c:pt idx="2">
                  <c:v>5670.833333333333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0-D948-8173-46BC8B3055F6}"/>
            </c:ext>
          </c:extLst>
        </c:ser>
        <c:ser>
          <c:idx val="1"/>
          <c:order val="1"/>
          <c:tx>
            <c:strRef>
              <c:f>Sheet1!$J$45</c:f>
              <c:strCache>
                <c:ptCount val="1"/>
                <c:pt idx="0">
                  <c:v>Control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Sheet1!$E$57:$G$57</c:f>
                <c:numCache>
                  <c:formatCode>General</c:formatCode>
                  <c:ptCount val="3"/>
                  <c:pt idx="0">
                    <c:v>30.489642403346576</c:v>
                  </c:pt>
                  <c:pt idx="1">
                    <c:v>1095.1724369553258</c:v>
                  </c:pt>
                  <c:pt idx="2">
                    <c:v>2111.9978850999501</c:v>
                  </c:pt>
                </c:numCache>
              </c:numRef>
            </c:plus>
            <c:minus>
              <c:numRef>
                <c:f>Sheet1!$E$57:$G$57</c:f>
                <c:numCache>
                  <c:formatCode>General</c:formatCode>
                  <c:ptCount val="3"/>
                  <c:pt idx="0">
                    <c:v>30.489642403346576</c:v>
                  </c:pt>
                  <c:pt idx="1">
                    <c:v>1095.1724369553258</c:v>
                  </c:pt>
                  <c:pt idx="2">
                    <c:v>2111.9978850999501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Sheet1!$K$43:$M$43</c:f>
              <c:strCache>
                <c:ptCount val="3"/>
                <c:pt idx="0">
                  <c:v>(T_0 - blk)/mass</c:v>
                </c:pt>
                <c:pt idx="1">
                  <c:v>(T_1 - blk)/mass</c:v>
                </c:pt>
                <c:pt idx="2">
                  <c:v>(T_2 - blk)/mass</c:v>
                </c:pt>
              </c:strCache>
            </c:strRef>
          </c:cat>
          <c:val>
            <c:numRef>
              <c:f>Sheet1!$K$45:$M$45</c:f>
              <c:numCache>
                <c:formatCode>General</c:formatCode>
                <c:ptCount val="3"/>
                <c:pt idx="0">
                  <c:v>-0.85374392978371816</c:v>
                </c:pt>
                <c:pt idx="1">
                  <c:v>3331.1666666666665</c:v>
                </c:pt>
                <c:pt idx="2">
                  <c:v>7373.333333333333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0-D948-8173-46BC8B305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738176"/>
        <c:axId val="455915184"/>
      </c:lineChart>
      <c:catAx>
        <c:axId val="65173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15184"/>
        <c:crosses val="autoZero"/>
        <c:auto val="1"/>
        <c:lblAlgn val="ctr"/>
        <c:lblOffset val="100"/>
        <c:noMultiLvlLbl val="0"/>
      </c:catAx>
      <c:valAx>
        <c:axId val="4559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3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809656</xdr:colOff>
      <xdr:row>22</xdr:row>
      <xdr:rowOff>169901</xdr:rowOff>
    </xdr:from>
    <xdr:to>
      <xdr:col>14</xdr:col>
      <xdr:colOff>436812</xdr:colOff>
      <xdr:row>36</xdr:row>
      <xdr:rowOff>32605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FDEB7-1AF3-AC69-FED6-337CE8F3B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787400</xdr:colOff>
      <xdr:row>40</xdr:row>
      <xdr:rowOff>25401</xdr:rowOff>
    </xdr:from>
    <xdr:to>
      <xdr:col>14</xdr:col>
      <xdr:colOff>381000</xdr:colOff>
      <xdr:row>53</xdr:row>
      <xdr:rowOff>127001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4F7E4-119D-624F-5F9A-01F5C23E3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2F3D-11D3-3B40-B307-9127142C59CF}">
  <dimension ref="A1:D17"/>
  <sheetViews>
    <sheetView workbookViewId="0">
      <selection activeCell="C31" sqref="C31"/>
    </sheetView>
  </sheetViews>
  <sheetFormatPr baseColWidth="10" defaultRowHeight="16" x14ac:dyDescent="0.2"/>
  <sheetData>
    <row r="1" spans="1:4" x14ac:dyDescent="0.2">
      <c r="A1" s="7" t="s">
        <v>0</v>
      </c>
      <c r="B1" s="7" t="s">
        <v>82</v>
      </c>
      <c r="C1" s="7" t="s">
        <v>80</v>
      </c>
      <c r="D1" s="7" t="s">
        <v>81</v>
      </c>
    </row>
    <row r="2" spans="1:4" x14ac:dyDescent="0.2">
      <c r="A2" t="s">
        <v>8</v>
      </c>
      <c r="B2">
        <v>-38.888888888888893</v>
      </c>
      <c r="C2">
        <v>627.5</v>
      </c>
      <c r="D2">
        <v>1580</v>
      </c>
    </row>
    <row r="3" spans="1:4" x14ac:dyDescent="0.2">
      <c r="A3" t="s">
        <v>13</v>
      </c>
      <c r="B3">
        <v>2.5477707006369426</v>
      </c>
      <c r="C3">
        <v>1893.5</v>
      </c>
      <c r="D3">
        <v>4203</v>
      </c>
    </row>
    <row r="4" spans="1:4" x14ac:dyDescent="0.2">
      <c r="A4" t="s">
        <v>17</v>
      </c>
      <c r="B4">
        <v>-15.789473684210527</v>
      </c>
      <c r="C4">
        <v>2570.5</v>
      </c>
      <c r="D4">
        <v>5128</v>
      </c>
    </row>
    <row r="5" spans="1:4" x14ac:dyDescent="0.2">
      <c r="A5" t="s">
        <v>21</v>
      </c>
      <c r="B5">
        <v>-15.168539325842696</v>
      </c>
      <c r="C5">
        <v>4603.5</v>
      </c>
      <c r="D5">
        <v>10028</v>
      </c>
    </row>
    <row r="6" spans="1:4" x14ac:dyDescent="0.2">
      <c r="A6" t="s">
        <v>25</v>
      </c>
      <c r="B6">
        <v>-40.17094017094017</v>
      </c>
      <c r="C6">
        <v>3247.5</v>
      </c>
      <c r="D6">
        <v>8275</v>
      </c>
    </row>
    <row r="7" spans="1:4" x14ac:dyDescent="0.2">
      <c r="A7" t="s">
        <v>29</v>
      </c>
      <c r="B7">
        <v>-4.2253521126760569</v>
      </c>
      <c r="C7">
        <v>2074.5</v>
      </c>
      <c r="D7">
        <v>4811</v>
      </c>
    </row>
    <row r="8" spans="1:4" x14ac:dyDescent="0.2">
      <c r="A8" t="s">
        <v>33</v>
      </c>
      <c r="B8">
        <v>19.125683060109289</v>
      </c>
      <c r="C8">
        <v>3001.5</v>
      </c>
      <c r="D8">
        <v>7628</v>
      </c>
    </row>
    <row r="9" spans="1:4" x14ac:dyDescent="0.2">
      <c r="A9" t="s">
        <v>37</v>
      </c>
      <c r="B9">
        <v>-6.8571428571428568</v>
      </c>
      <c r="C9">
        <v>2110.5</v>
      </c>
      <c r="D9">
        <v>4631</v>
      </c>
    </row>
    <row r="10" spans="1:4" x14ac:dyDescent="0.2">
      <c r="A10" t="s">
        <v>41</v>
      </c>
      <c r="B10">
        <v>23.981900452488688</v>
      </c>
      <c r="C10">
        <v>2031.5</v>
      </c>
      <c r="D10">
        <v>4884</v>
      </c>
    </row>
    <row r="11" spans="1:4" x14ac:dyDescent="0.2">
      <c r="A11" t="s">
        <v>45</v>
      </c>
      <c r="B11">
        <v>18.357487922705314</v>
      </c>
      <c r="C11">
        <v>4248.5</v>
      </c>
      <c r="D11">
        <v>9451</v>
      </c>
    </row>
    <row r="12" spans="1:4" x14ac:dyDescent="0.2">
      <c r="A12" t="s">
        <v>49</v>
      </c>
      <c r="B12">
        <v>-2.0833333333333335</v>
      </c>
      <c r="C12">
        <v>4303.5</v>
      </c>
      <c r="D12">
        <v>8802</v>
      </c>
    </row>
    <row r="13" spans="1:4" x14ac:dyDescent="0.2">
      <c r="A13" t="s">
        <v>53</v>
      </c>
      <c r="B13">
        <v>-57.647058823529413</v>
      </c>
      <c r="C13">
        <v>4291.5</v>
      </c>
      <c r="D13">
        <v>8844</v>
      </c>
    </row>
    <row r="14" spans="1:4" x14ac:dyDescent="0.2">
      <c r="A14" t="s">
        <v>73</v>
      </c>
      <c r="B14">
        <v>-18.615903913653568</v>
      </c>
      <c r="C14">
        <v>2502.8333333333335</v>
      </c>
      <c r="D14">
        <v>5670.833333333333</v>
      </c>
    </row>
    <row r="15" spans="1:4" x14ac:dyDescent="0.2">
      <c r="A15" t="s">
        <v>75</v>
      </c>
      <c r="B15">
        <v>17.609518122983605</v>
      </c>
      <c r="C15">
        <v>1344.8821014002183</v>
      </c>
      <c r="D15">
        <v>3022.9131258881175</v>
      </c>
    </row>
    <row r="16" spans="1:4" x14ac:dyDescent="0.2">
      <c r="A16" t="s">
        <v>74</v>
      </c>
      <c r="B16">
        <v>-0.85374392978371816</v>
      </c>
      <c r="C16">
        <v>3331.1666666666665</v>
      </c>
      <c r="D16">
        <v>7373.333333333333</v>
      </c>
    </row>
    <row r="17" spans="1:4" x14ac:dyDescent="0.2">
      <c r="A17" t="s">
        <v>76</v>
      </c>
      <c r="B17">
        <v>30.489642403346576</v>
      </c>
      <c r="C17">
        <v>1095.1724369553258</v>
      </c>
      <c r="D17">
        <v>2111.9978850999501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1E5C-4E59-F94A-A1F0-D5AD36D135C0}">
  <dimension ref="A1:O72"/>
  <sheetViews>
    <sheetView tabSelected="1" topLeftCell="A20" zoomScale="88" workbookViewId="0">
      <selection activeCell="O49" sqref="O49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4" t="s">
        <v>66</v>
      </c>
      <c r="E1" s="1" t="s">
        <v>68</v>
      </c>
      <c r="F1" s="1" t="s">
        <v>3</v>
      </c>
      <c r="G1" s="1" t="s">
        <v>67</v>
      </c>
      <c r="H1" t="s">
        <v>69</v>
      </c>
      <c r="I1" s="1" t="s">
        <v>70</v>
      </c>
      <c r="J1" s="4" t="s">
        <v>71</v>
      </c>
      <c r="K1" t="s">
        <v>72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x14ac:dyDescent="0.2">
      <c r="A2" s="4" t="s">
        <v>8</v>
      </c>
      <c r="B2" s="2" t="s">
        <v>9</v>
      </c>
      <c r="C2" s="1" t="s">
        <v>10</v>
      </c>
      <c r="D2" s="5">
        <v>1294</v>
      </c>
      <c r="E2" s="5">
        <f>D2-((1379+1321)/2)</f>
        <v>-56</v>
      </c>
      <c r="F2" s="1" t="s">
        <v>11</v>
      </c>
      <c r="G2" s="5">
        <v>2069</v>
      </c>
      <c r="H2">
        <f>G2-((1508+1375)/2)</f>
        <v>627.5</v>
      </c>
      <c r="I2" s="1" t="s">
        <v>12</v>
      </c>
      <c r="J2" s="5">
        <v>3002</v>
      </c>
      <c r="K2">
        <f>J2-((1416+1428)/2)</f>
        <v>1580</v>
      </c>
      <c r="L2" s="1">
        <v>1.44</v>
      </c>
      <c r="M2" s="1"/>
      <c r="N2" s="1">
        <v>35</v>
      </c>
      <c r="O2" s="3">
        <v>46147</v>
      </c>
    </row>
    <row r="3" spans="1:15" x14ac:dyDescent="0.2">
      <c r="A3" s="4" t="s">
        <v>13</v>
      </c>
      <c r="B3" s="2" t="s">
        <v>9</v>
      </c>
      <c r="C3" s="1" t="s">
        <v>14</v>
      </c>
      <c r="D3" s="5">
        <v>1354</v>
      </c>
      <c r="E3" s="5">
        <f t="shared" ref="E3:E13" si="0">D3-((1379+1321)/2)</f>
        <v>4</v>
      </c>
      <c r="F3" s="1" t="s">
        <v>15</v>
      </c>
      <c r="G3" s="5">
        <v>3335</v>
      </c>
      <c r="H3">
        <f t="shared" ref="H3:H13" si="1">G3-((1508+1375)/2)</f>
        <v>1893.5</v>
      </c>
      <c r="I3" s="1" t="s">
        <v>16</v>
      </c>
      <c r="J3" s="5">
        <v>5625</v>
      </c>
      <c r="K3">
        <f t="shared" ref="K3:K13" si="2">J3-((1416+1428)/2)</f>
        <v>4203</v>
      </c>
      <c r="L3" s="1">
        <v>1.57</v>
      </c>
      <c r="M3" s="1"/>
      <c r="N3" s="1">
        <v>35</v>
      </c>
      <c r="O3" s="3">
        <v>46147</v>
      </c>
    </row>
    <row r="4" spans="1:15" x14ac:dyDescent="0.2">
      <c r="A4" s="4" t="s">
        <v>17</v>
      </c>
      <c r="B4" s="2" t="s">
        <v>9</v>
      </c>
      <c r="C4" s="1" t="s">
        <v>18</v>
      </c>
      <c r="D4" s="5">
        <v>1335</v>
      </c>
      <c r="E4" s="5">
        <f t="shared" si="0"/>
        <v>-15</v>
      </c>
      <c r="F4" s="1" t="s">
        <v>19</v>
      </c>
      <c r="G4" s="5">
        <v>4012</v>
      </c>
      <c r="H4">
        <f t="shared" si="1"/>
        <v>2570.5</v>
      </c>
      <c r="I4" s="1" t="s">
        <v>20</v>
      </c>
      <c r="J4" s="5">
        <v>6550</v>
      </c>
      <c r="K4">
        <f t="shared" si="2"/>
        <v>5128</v>
      </c>
      <c r="L4" s="1">
        <v>0.95</v>
      </c>
      <c r="M4" s="1"/>
      <c r="N4" s="1">
        <v>35</v>
      </c>
      <c r="O4" s="3">
        <v>46147</v>
      </c>
    </row>
    <row r="5" spans="1:15" x14ac:dyDescent="0.2">
      <c r="A5" s="4" t="s">
        <v>21</v>
      </c>
      <c r="B5" s="2" t="s">
        <v>9</v>
      </c>
      <c r="C5" s="1" t="s">
        <v>22</v>
      </c>
      <c r="D5" s="5">
        <v>1323</v>
      </c>
      <c r="E5" s="5">
        <f t="shared" si="0"/>
        <v>-27</v>
      </c>
      <c r="F5" s="1" t="s">
        <v>23</v>
      </c>
      <c r="G5" s="5">
        <v>6045</v>
      </c>
      <c r="H5">
        <f t="shared" si="1"/>
        <v>4603.5</v>
      </c>
      <c r="I5" s="1" t="s">
        <v>24</v>
      </c>
      <c r="J5" s="5">
        <v>11450</v>
      </c>
      <c r="K5">
        <f t="shared" si="2"/>
        <v>10028</v>
      </c>
      <c r="L5" s="1">
        <v>1.78</v>
      </c>
      <c r="M5" s="1"/>
      <c r="N5" s="1">
        <v>35</v>
      </c>
      <c r="O5" s="3">
        <v>46147</v>
      </c>
    </row>
    <row r="6" spans="1:15" x14ac:dyDescent="0.2">
      <c r="A6" s="4" t="s">
        <v>25</v>
      </c>
      <c r="B6" s="2" t="s">
        <v>9</v>
      </c>
      <c r="C6" s="1" t="s">
        <v>26</v>
      </c>
      <c r="D6" s="5">
        <v>1256</v>
      </c>
      <c r="E6" s="5">
        <f t="shared" si="0"/>
        <v>-94</v>
      </c>
      <c r="F6" s="1" t="s">
        <v>27</v>
      </c>
      <c r="G6" s="5">
        <v>4689</v>
      </c>
      <c r="H6">
        <f t="shared" si="1"/>
        <v>3247.5</v>
      </c>
      <c r="I6" s="1" t="s">
        <v>28</v>
      </c>
      <c r="J6" s="5">
        <v>9697</v>
      </c>
      <c r="K6">
        <f t="shared" si="2"/>
        <v>8275</v>
      </c>
      <c r="L6" s="1">
        <v>2.34</v>
      </c>
      <c r="M6" s="1"/>
      <c r="N6" s="1">
        <v>35</v>
      </c>
      <c r="O6" s="3">
        <v>46147</v>
      </c>
    </row>
    <row r="7" spans="1:15" x14ac:dyDescent="0.2">
      <c r="A7" s="4" t="s">
        <v>29</v>
      </c>
      <c r="B7" s="2" t="s">
        <v>9</v>
      </c>
      <c r="C7" s="1" t="s">
        <v>30</v>
      </c>
      <c r="D7" s="5">
        <v>1341</v>
      </c>
      <c r="E7" s="5">
        <f t="shared" si="0"/>
        <v>-9</v>
      </c>
      <c r="F7" s="1" t="s">
        <v>31</v>
      </c>
      <c r="G7" s="5">
        <v>3516</v>
      </c>
      <c r="H7">
        <f t="shared" si="1"/>
        <v>2074.5</v>
      </c>
      <c r="I7" s="1" t="s">
        <v>32</v>
      </c>
      <c r="J7" s="5">
        <v>6233</v>
      </c>
      <c r="K7">
        <f t="shared" si="2"/>
        <v>4811</v>
      </c>
      <c r="L7" s="1">
        <v>2.13</v>
      </c>
      <c r="M7" s="1"/>
      <c r="N7" s="1">
        <v>35</v>
      </c>
      <c r="O7" s="3">
        <v>46147</v>
      </c>
    </row>
    <row r="8" spans="1:15" x14ac:dyDescent="0.2">
      <c r="A8" s="1" t="s">
        <v>33</v>
      </c>
      <c r="B8" s="2" t="s">
        <v>9</v>
      </c>
      <c r="C8" s="1" t="s">
        <v>34</v>
      </c>
      <c r="D8" s="5">
        <v>1385</v>
      </c>
      <c r="E8" s="5">
        <f t="shared" si="0"/>
        <v>35</v>
      </c>
      <c r="F8" s="1" t="s">
        <v>35</v>
      </c>
      <c r="G8" s="5">
        <v>4443</v>
      </c>
      <c r="H8">
        <f t="shared" si="1"/>
        <v>3001.5</v>
      </c>
      <c r="I8" s="1" t="s">
        <v>36</v>
      </c>
      <c r="J8" s="5">
        <v>9050</v>
      </c>
      <c r="K8">
        <f t="shared" si="2"/>
        <v>7628</v>
      </c>
      <c r="L8" s="1">
        <v>1.83</v>
      </c>
      <c r="M8" s="1"/>
      <c r="N8" s="1">
        <v>35</v>
      </c>
      <c r="O8" s="3">
        <v>46147</v>
      </c>
    </row>
    <row r="9" spans="1:15" x14ac:dyDescent="0.2">
      <c r="A9" s="1" t="s">
        <v>37</v>
      </c>
      <c r="B9" s="2" t="s">
        <v>9</v>
      </c>
      <c r="C9" s="1" t="s">
        <v>38</v>
      </c>
      <c r="D9" s="5">
        <v>1338</v>
      </c>
      <c r="E9" s="5">
        <f t="shared" si="0"/>
        <v>-12</v>
      </c>
      <c r="F9" s="1" t="s">
        <v>39</v>
      </c>
      <c r="G9" s="5">
        <v>3552</v>
      </c>
      <c r="H9">
        <f t="shared" si="1"/>
        <v>2110.5</v>
      </c>
      <c r="I9" s="1" t="s">
        <v>40</v>
      </c>
      <c r="J9" s="5">
        <v>6053</v>
      </c>
      <c r="K9">
        <f t="shared" si="2"/>
        <v>4631</v>
      </c>
      <c r="L9" s="1">
        <v>1.75</v>
      </c>
      <c r="M9" s="1"/>
      <c r="N9" s="1">
        <v>35</v>
      </c>
      <c r="O9" s="3">
        <v>46147</v>
      </c>
    </row>
    <row r="10" spans="1:15" x14ac:dyDescent="0.2">
      <c r="A10" s="1" t="s">
        <v>41</v>
      </c>
      <c r="B10" s="2" t="s">
        <v>9</v>
      </c>
      <c r="C10" s="1" t="s">
        <v>42</v>
      </c>
      <c r="D10" s="5">
        <v>1403</v>
      </c>
      <c r="E10" s="5">
        <f t="shared" si="0"/>
        <v>53</v>
      </c>
      <c r="F10" s="1" t="s">
        <v>43</v>
      </c>
      <c r="G10" s="5">
        <v>3473</v>
      </c>
      <c r="H10">
        <f t="shared" si="1"/>
        <v>2031.5</v>
      </c>
      <c r="I10" s="1" t="s">
        <v>44</v>
      </c>
      <c r="J10" s="5">
        <v>6306</v>
      </c>
      <c r="K10">
        <f t="shared" si="2"/>
        <v>4884</v>
      </c>
      <c r="L10" s="1">
        <v>2.21</v>
      </c>
      <c r="M10" s="1"/>
      <c r="N10" s="1">
        <v>35</v>
      </c>
      <c r="O10" s="3">
        <v>46147</v>
      </c>
    </row>
    <row r="11" spans="1:15" x14ac:dyDescent="0.2">
      <c r="A11" s="1" t="s">
        <v>45</v>
      </c>
      <c r="B11" s="2" t="s">
        <v>9</v>
      </c>
      <c r="C11" s="1" t="s">
        <v>46</v>
      </c>
      <c r="D11" s="5">
        <v>1388</v>
      </c>
      <c r="E11" s="5">
        <f t="shared" si="0"/>
        <v>38</v>
      </c>
      <c r="F11" s="1" t="s">
        <v>47</v>
      </c>
      <c r="G11" s="5">
        <v>5690</v>
      </c>
      <c r="H11">
        <f t="shared" si="1"/>
        <v>4248.5</v>
      </c>
      <c r="I11" s="1" t="s">
        <v>48</v>
      </c>
      <c r="J11" s="5">
        <v>10873</v>
      </c>
      <c r="K11">
        <f t="shared" si="2"/>
        <v>9451</v>
      </c>
      <c r="L11" s="1">
        <v>2.0699999999999998</v>
      </c>
      <c r="M11" s="1"/>
      <c r="N11" s="1">
        <v>35</v>
      </c>
      <c r="O11" s="3">
        <v>46147</v>
      </c>
    </row>
    <row r="12" spans="1:15" x14ac:dyDescent="0.2">
      <c r="A12" s="1" t="s">
        <v>49</v>
      </c>
      <c r="B12" s="2" t="s">
        <v>9</v>
      </c>
      <c r="C12" s="1" t="s">
        <v>50</v>
      </c>
      <c r="D12" s="5">
        <v>1345</v>
      </c>
      <c r="E12" s="5">
        <f t="shared" si="0"/>
        <v>-5</v>
      </c>
      <c r="F12" s="1" t="s">
        <v>51</v>
      </c>
      <c r="G12" s="5">
        <v>5745</v>
      </c>
      <c r="H12">
        <f t="shared" si="1"/>
        <v>4303.5</v>
      </c>
      <c r="I12" s="1" t="s">
        <v>52</v>
      </c>
      <c r="J12" s="5">
        <v>10224</v>
      </c>
      <c r="K12">
        <f t="shared" si="2"/>
        <v>8802</v>
      </c>
      <c r="L12" s="1">
        <v>2.4</v>
      </c>
      <c r="M12" s="1"/>
      <c r="N12" s="1">
        <v>35</v>
      </c>
      <c r="O12" s="3">
        <v>46147</v>
      </c>
    </row>
    <row r="13" spans="1:15" x14ac:dyDescent="0.2">
      <c r="A13" s="1" t="s">
        <v>53</v>
      </c>
      <c r="B13" s="2" t="s">
        <v>9</v>
      </c>
      <c r="C13" s="1" t="s">
        <v>54</v>
      </c>
      <c r="D13" s="5">
        <v>1252</v>
      </c>
      <c r="E13" s="5">
        <f t="shared" si="0"/>
        <v>-98</v>
      </c>
      <c r="F13" s="1" t="s">
        <v>55</v>
      </c>
      <c r="G13" s="5">
        <v>5733</v>
      </c>
      <c r="H13">
        <f t="shared" si="1"/>
        <v>4291.5</v>
      </c>
      <c r="I13" s="1" t="s">
        <v>56</v>
      </c>
      <c r="J13" s="5">
        <v>10266</v>
      </c>
      <c r="K13">
        <f t="shared" si="2"/>
        <v>8844</v>
      </c>
      <c r="L13" s="1">
        <v>1.7</v>
      </c>
      <c r="M13" s="1"/>
      <c r="N13" s="1">
        <v>35</v>
      </c>
      <c r="O13" s="3">
        <v>46147</v>
      </c>
    </row>
    <row r="14" spans="1:15" x14ac:dyDescent="0.2">
      <c r="A14" s="1" t="s">
        <v>57</v>
      </c>
      <c r="B14" s="1" t="s">
        <v>58</v>
      </c>
      <c r="C14" s="1" t="s">
        <v>59</v>
      </c>
      <c r="D14" s="6">
        <v>1379</v>
      </c>
      <c r="F14" s="1" t="s">
        <v>60</v>
      </c>
      <c r="G14" s="6">
        <v>1508</v>
      </c>
      <c r="I14" s="1" t="s">
        <v>61</v>
      </c>
      <c r="J14" s="6">
        <v>1416</v>
      </c>
      <c r="L14" s="1"/>
      <c r="M14" s="1"/>
      <c r="N14" s="1">
        <v>35</v>
      </c>
      <c r="O14" s="3">
        <v>46147</v>
      </c>
    </row>
    <row r="15" spans="1:15" x14ac:dyDescent="0.2">
      <c r="A15" s="1" t="s">
        <v>62</v>
      </c>
      <c r="B15" s="1" t="s">
        <v>58</v>
      </c>
      <c r="C15" s="1" t="s">
        <v>63</v>
      </c>
      <c r="D15" s="6">
        <v>1321</v>
      </c>
      <c r="F15" s="1" t="s">
        <v>64</v>
      </c>
      <c r="G15" s="6">
        <v>1375</v>
      </c>
      <c r="I15" s="1" t="s">
        <v>65</v>
      </c>
      <c r="J15" s="6">
        <v>1428</v>
      </c>
      <c r="L15" s="1"/>
      <c r="M15" s="1"/>
      <c r="N15" s="1">
        <v>35</v>
      </c>
      <c r="O15" s="3">
        <v>46147</v>
      </c>
    </row>
    <row r="20" spans="4:8" x14ac:dyDescent="0.2">
      <c r="D20" s="1" t="s">
        <v>0</v>
      </c>
      <c r="E20" t="s">
        <v>68</v>
      </c>
      <c r="F20" t="s">
        <v>69</v>
      </c>
      <c r="G20" t="s">
        <v>72</v>
      </c>
      <c r="H20" s="1"/>
    </row>
    <row r="21" spans="4:8" x14ac:dyDescent="0.2">
      <c r="D21" s="4" t="s">
        <v>8</v>
      </c>
      <c r="E21">
        <v>-56</v>
      </c>
      <c r="F21">
        <v>627.5</v>
      </c>
      <c r="G21">
        <v>1580</v>
      </c>
      <c r="H21" s="1"/>
    </row>
    <row r="22" spans="4:8" x14ac:dyDescent="0.2">
      <c r="D22" s="4" t="s">
        <v>13</v>
      </c>
      <c r="E22">
        <v>4</v>
      </c>
      <c r="F22">
        <v>1893.5</v>
      </c>
      <c r="G22">
        <v>4203</v>
      </c>
      <c r="H22" s="1"/>
    </row>
    <row r="23" spans="4:8" x14ac:dyDescent="0.2">
      <c r="D23" s="4" t="s">
        <v>17</v>
      </c>
      <c r="E23">
        <v>-15</v>
      </c>
      <c r="F23">
        <v>2570.5</v>
      </c>
      <c r="G23">
        <v>5128</v>
      </c>
      <c r="H23" s="1"/>
    </row>
    <row r="24" spans="4:8" x14ac:dyDescent="0.2">
      <c r="D24" s="4" t="s">
        <v>21</v>
      </c>
      <c r="E24">
        <v>-27</v>
      </c>
      <c r="F24">
        <v>4603.5</v>
      </c>
      <c r="G24">
        <v>10028</v>
      </c>
      <c r="H24" s="1"/>
    </row>
    <row r="25" spans="4:8" x14ac:dyDescent="0.2">
      <c r="D25" s="4" t="s">
        <v>25</v>
      </c>
      <c r="E25">
        <v>-94</v>
      </c>
      <c r="F25">
        <v>3247.5</v>
      </c>
      <c r="G25">
        <v>8275</v>
      </c>
      <c r="H25" s="1"/>
    </row>
    <row r="26" spans="4:8" x14ac:dyDescent="0.2">
      <c r="D26" s="4" t="s">
        <v>29</v>
      </c>
      <c r="E26">
        <v>-9</v>
      </c>
      <c r="F26">
        <v>2074.5</v>
      </c>
      <c r="G26">
        <v>4811</v>
      </c>
      <c r="H26" s="1"/>
    </row>
    <row r="27" spans="4:8" x14ac:dyDescent="0.2">
      <c r="D27" s="4" t="s">
        <v>73</v>
      </c>
      <c r="E27">
        <f>AVERAGE(E21:E26)</f>
        <v>-32.833333333333336</v>
      </c>
      <c r="F27">
        <f t="shared" ref="F27:G27" si="3">AVERAGE(F21:F26)</f>
        <v>2502.8333333333335</v>
      </c>
      <c r="G27">
        <f t="shared" si="3"/>
        <v>5670.833333333333</v>
      </c>
      <c r="H27" s="1"/>
    </row>
    <row r="28" spans="4:8" x14ac:dyDescent="0.2">
      <c r="D28" s="4" t="s">
        <v>75</v>
      </c>
      <c r="E28">
        <f>STDEV(E21:E26)</f>
        <v>36.207273670723495</v>
      </c>
      <c r="F28">
        <f t="shared" ref="F28:G28" si="4">STDEV(F21:F26)</f>
        <v>1344.8821014002183</v>
      </c>
      <c r="G28">
        <f t="shared" si="4"/>
        <v>3022.9131258881175</v>
      </c>
      <c r="H28" s="1"/>
    </row>
    <row r="29" spans="4:8" x14ac:dyDescent="0.2">
      <c r="D29" s="1" t="s">
        <v>33</v>
      </c>
      <c r="E29">
        <v>35</v>
      </c>
      <c r="F29">
        <v>3001.5</v>
      </c>
      <c r="G29">
        <v>7628</v>
      </c>
      <c r="H29" s="1"/>
    </row>
    <row r="30" spans="4:8" x14ac:dyDescent="0.2">
      <c r="D30" s="1" t="s">
        <v>37</v>
      </c>
      <c r="E30">
        <v>-12</v>
      </c>
      <c r="F30">
        <v>2110.5</v>
      </c>
      <c r="G30">
        <v>4631</v>
      </c>
      <c r="H30" s="1"/>
    </row>
    <row r="31" spans="4:8" x14ac:dyDescent="0.2">
      <c r="D31" s="1" t="s">
        <v>41</v>
      </c>
      <c r="E31">
        <v>53</v>
      </c>
      <c r="F31">
        <v>2031.5</v>
      </c>
      <c r="G31">
        <v>4884</v>
      </c>
      <c r="H31" s="1"/>
    </row>
    <row r="32" spans="4:8" x14ac:dyDescent="0.2">
      <c r="D32" s="1" t="s">
        <v>45</v>
      </c>
      <c r="E32">
        <v>38</v>
      </c>
      <c r="F32">
        <v>4248.5</v>
      </c>
      <c r="G32">
        <v>9451</v>
      </c>
      <c r="H32" s="1"/>
    </row>
    <row r="33" spans="4:14" x14ac:dyDescent="0.2">
      <c r="D33" s="1" t="s">
        <v>49</v>
      </c>
      <c r="E33">
        <v>-5</v>
      </c>
      <c r="F33">
        <v>4303.5</v>
      </c>
      <c r="G33">
        <v>8802</v>
      </c>
    </row>
    <row r="34" spans="4:14" x14ac:dyDescent="0.2">
      <c r="D34" s="1" t="s">
        <v>53</v>
      </c>
      <c r="E34">
        <v>-98</v>
      </c>
      <c r="F34">
        <v>4291.5</v>
      </c>
      <c r="G34">
        <v>8844</v>
      </c>
      <c r="L34" t="s">
        <v>68</v>
      </c>
      <c r="M34" t="s">
        <v>69</v>
      </c>
      <c r="N34" t="s">
        <v>72</v>
      </c>
    </row>
    <row r="35" spans="4:14" x14ac:dyDescent="0.2">
      <c r="D35" s="1" t="s">
        <v>74</v>
      </c>
      <c r="E35">
        <f>AVERAGE(E29:E34)</f>
        <v>1.8333333333333333</v>
      </c>
      <c r="F35">
        <f t="shared" ref="F35:G35" si="5">AVERAGE(F29:F34)</f>
        <v>3331.1666666666665</v>
      </c>
      <c r="G35">
        <f t="shared" si="5"/>
        <v>7373.333333333333</v>
      </c>
      <c r="K35" t="s">
        <v>73</v>
      </c>
      <c r="L35">
        <v>-32.833333333333336</v>
      </c>
      <c r="M35">
        <v>2502.8333333333335</v>
      </c>
      <c r="N35">
        <v>5670.833333333333</v>
      </c>
    </row>
    <row r="36" spans="4:14" x14ac:dyDescent="0.2">
      <c r="D36" s="1" t="s">
        <v>76</v>
      </c>
      <c r="E36">
        <f>STDEV(E29:E34)</f>
        <v>55.192088805069403</v>
      </c>
      <c r="F36">
        <f t="shared" ref="F36:G36" si="6">STDEV(F29:F34)</f>
        <v>1095.1724369553258</v>
      </c>
      <c r="G36">
        <f t="shared" si="6"/>
        <v>2111.9978850999501</v>
      </c>
      <c r="K36" t="s">
        <v>74</v>
      </c>
      <c r="L36">
        <v>1.8333333333333333</v>
      </c>
      <c r="M36">
        <v>3331.1666666666665</v>
      </c>
      <c r="N36">
        <v>7373.333333333333</v>
      </c>
    </row>
    <row r="41" spans="4:14" x14ac:dyDescent="0.2">
      <c r="D41" s="1" t="s">
        <v>0</v>
      </c>
      <c r="E41" t="s">
        <v>77</v>
      </c>
      <c r="F41" t="s">
        <v>78</v>
      </c>
      <c r="G41" t="s">
        <v>79</v>
      </c>
    </row>
    <row r="42" spans="4:14" x14ac:dyDescent="0.2">
      <c r="D42" s="4" t="s">
        <v>8</v>
      </c>
      <c r="E42">
        <f>-56/L2</f>
        <v>-38.888888888888893</v>
      </c>
      <c r="F42">
        <v>627.5</v>
      </c>
      <c r="G42">
        <v>1580</v>
      </c>
    </row>
    <row r="43" spans="4:14" x14ac:dyDescent="0.2">
      <c r="D43" s="4" t="s">
        <v>13</v>
      </c>
      <c r="E43">
        <f>4/L3</f>
        <v>2.5477707006369426</v>
      </c>
      <c r="F43">
        <v>1893.5</v>
      </c>
      <c r="G43">
        <v>4203</v>
      </c>
      <c r="J43" s="1" t="s">
        <v>0</v>
      </c>
      <c r="K43" t="s">
        <v>77</v>
      </c>
      <c r="L43" t="s">
        <v>78</v>
      </c>
      <c r="M43" t="s">
        <v>79</v>
      </c>
    </row>
    <row r="44" spans="4:14" x14ac:dyDescent="0.2">
      <c r="D44" s="4" t="s">
        <v>17</v>
      </c>
      <c r="E44">
        <f>-15/L4</f>
        <v>-15.789473684210527</v>
      </c>
      <c r="F44">
        <v>2570.5</v>
      </c>
      <c r="G44">
        <v>5128</v>
      </c>
      <c r="J44" s="4" t="s">
        <v>73</v>
      </c>
      <c r="K44">
        <v>-18.615903913653568</v>
      </c>
      <c r="L44">
        <v>2502.8333333333335</v>
      </c>
      <c r="M44">
        <v>5670.833333333333</v>
      </c>
    </row>
    <row r="45" spans="4:14" x14ac:dyDescent="0.2">
      <c r="D45" s="4" t="s">
        <v>21</v>
      </c>
      <c r="E45">
        <f>-27/L5</f>
        <v>-15.168539325842696</v>
      </c>
      <c r="F45">
        <v>4603.5</v>
      </c>
      <c r="G45">
        <v>10028</v>
      </c>
      <c r="J45" t="s">
        <v>74</v>
      </c>
      <c r="K45">
        <v>-0.85374392978371816</v>
      </c>
      <c r="L45">
        <v>3331.1666666666665</v>
      </c>
      <c r="M45">
        <v>7373.333333333333</v>
      </c>
    </row>
    <row r="46" spans="4:14" x14ac:dyDescent="0.2">
      <c r="D46" s="4" t="s">
        <v>25</v>
      </c>
      <c r="E46">
        <f>-94/L6</f>
        <v>-40.17094017094017</v>
      </c>
      <c r="F46">
        <v>3247.5</v>
      </c>
      <c r="G46">
        <v>8275</v>
      </c>
    </row>
    <row r="47" spans="4:14" x14ac:dyDescent="0.2">
      <c r="D47" s="4" t="s">
        <v>29</v>
      </c>
      <c r="E47">
        <f>-9/L7</f>
        <v>-4.2253521126760569</v>
      </c>
      <c r="F47">
        <v>2074.5</v>
      </c>
      <c r="G47">
        <v>4811</v>
      </c>
    </row>
    <row r="48" spans="4:14" x14ac:dyDescent="0.2">
      <c r="D48" s="4" t="s">
        <v>73</v>
      </c>
      <c r="E48">
        <f>AVERAGE(E42:E47)</f>
        <v>-18.615903913653568</v>
      </c>
      <c r="F48">
        <f>AVERAGE(F42:F47)</f>
        <v>2502.8333333333335</v>
      </c>
      <c r="G48">
        <f>AVERAGE(G42:G47)</f>
        <v>5670.833333333333</v>
      </c>
    </row>
    <row r="49" spans="4:14" x14ac:dyDescent="0.2">
      <c r="D49" s="4" t="s">
        <v>75</v>
      </c>
      <c r="E49">
        <f>STDEV(E42:E47)</f>
        <v>17.609518122983605</v>
      </c>
      <c r="F49">
        <f>STDEV(F42:F47)</f>
        <v>1344.8821014002183</v>
      </c>
      <c r="G49">
        <f>STDEV(G42:G47)</f>
        <v>3022.9131258881175</v>
      </c>
    </row>
    <row r="50" spans="4:14" x14ac:dyDescent="0.2">
      <c r="D50" s="1" t="s">
        <v>33</v>
      </c>
      <c r="E50">
        <f>35/L8</f>
        <v>19.125683060109289</v>
      </c>
      <c r="F50">
        <v>3001.5</v>
      </c>
      <c r="G50">
        <v>7628</v>
      </c>
    </row>
    <row r="51" spans="4:14" x14ac:dyDescent="0.2">
      <c r="D51" s="1" t="s">
        <v>37</v>
      </c>
      <c r="E51">
        <f>-12/L9</f>
        <v>-6.8571428571428568</v>
      </c>
      <c r="F51">
        <v>2110.5</v>
      </c>
      <c r="G51">
        <v>4631</v>
      </c>
    </row>
    <row r="52" spans="4:14" x14ac:dyDescent="0.2">
      <c r="D52" s="1" t="s">
        <v>41</v>
      </c>
      <c r="E52">
        <f>53/L10</f>
        <v>23.981900452488688</v>
      </c>
      <c r="F52">
        <v>2031.5</v>
      </c>
      <c r="G52">
        <v>4884</v>
      </c>
    </row>
    <row r="53" spans="4:14" x14ac:dyDescent="0.2">
      <c r="D53" s="1" t="s">
        <v>45</v>
      </c>
      <c r="E53">
        <f>38/L11</f>
        <v>18.357487922705314</v>
      </c>
      <c r="F53">
        <v>4248.5</v>
      </c>
      <c r="G53">
        <v>9451</v>
      </c>
    </row>
    <row r="54" spans="4:14" x14ac:dyDescent="0.2">
      <c r="D54" s="1" t="s">
        <v>49</v>
      </c>
      <c r="E54">
        <f>-5/L12</f>
        <v>-2.0833333333333335</v>
      </c>
      <c r="F54">
        <v>4303.5</v>
      </c>
      <c r="G54">
        <v>8802</v>
      </c>
    </row>
    <row r="55" spans="4:14" x14ac:dyDescent="0.2">
      <c r="D55" s="1" t="s">
        <v>53</v>
      </c>
      <c r="E55">
        <f>-98/L13</f>
        <v>-57.647058823529413</v>
      </c>
      <c r="F55">
        <v>4291.5</v>
      </c>
      <c r="G55">
        <v>8844</v>
      </c>
    </row>
    <row r="56" spans="4:14" x14ac:dyDescent="0.2">
      <c r="D56" s="1" t="s">
        <v>74</v>
      </c>
      <c r="E56">
        <f>AVERAGE(E50:E55)</f>
        <v>-0.85374392978371816</v>
      </c>
      <c r="F56">
        <f t="shared" ref="F56" si="7">AVERAGE(F50:F55)</f>
        <v>3331.1666666666665</v>
      </c>
      <c r="G56">
        <f t="shared" ref="G56" si="8">AVERAGE(G50:G55)</f>
        <v>7373.333333333333</v>
      </c>
      <c r="K56" s="7" t="s">
        <v>0</v>
      </c>
      <c r="L56" s="7" t="s">
        <v>77</v>
      </c>
      <c r="M56" s="7" t="s">
        <v>78</v>
      </c>
      <c r="N56" s="7" t="s">
        <v>79</v>
      </c>
    </row>
    <row r="57" spans="4:14" x14ac:dyDescent="0.2">
      <c r="D57" s="1" t="s">
        <v>76</v>
      </c>
      <c r="E57">
        <f>STDEV(E50:E55)</f>
        <v>30.489642403346576</v>
      </c>
      <c r="F57">
        <f t="shared" ref="F57:G57" si="9">STDEV(F50:F55)</f>
        <v>1095.1724369553258</v>
      </c>
      <c r="G57">
        <f t="shared" si="9"/>
        <v>2111.9978850999501</v>
      </c>
      <c r="K57" t="s">
        <v>8</v>
      </c>
      <c r="L57">
        <v>-38.888888888888893</v>
      </c>
      <c r="M57">
        <v>627.5</v>
      </c>
      <c r="N57">
        <v>1580</v>
      </c>
    </row>
    <row r="58" spans="4:14" x14ac:dyDescent="0.2">
      <c r="K58" t="s">
        <v>13</v>
      </c>
      <c r="L58">
        <v>2.5477707006369426</v>
      </c>
      <c r="M58">
        <v>1893.5</v>
      </c>
      <c r="N58">
        <v>4203</v>
      </c>
    </row>
    <row r="59" spans="4:14" x14ac:dyDescent="0.2">
      <c r="K59" t="s">
        <v>17</v>
      </c>
      <c r="L59">
        <v>-15.789473684210527</v>
      </c>
      <c r="M59">
        <v>2570.5</v>
      </c>
      <c r="N59">
        <v>5128</v>
      </c>
    </row>
    <row r="60" spans="4:14" x14ac:dyDescent="0.2">
      <c r="K60" t="s">
        <v>21</v>
      </c>
      <c r="L60">
        <v>-15.168539325842696</v>
      </c>
      <c r="M60">
        <v>4603.5</v>
      </c>
      <c r="N60">
        <v>10028</v>
      </c>
    </row>
    <row r="61" spans="4:14" x14ac:dyDescent="0.2">
      <c r="K61" t="s">
        <v>25</v>
      </c>
      <c r="L61">
        <v>-40.17094017094017</v>
      </c>
      <c r="M61">
        <v>3247.5</v>
      </c>
      <c r="N61">
        <v>8275</v>
      </c>
    </row>
    <row r="62" spans="4:14" x14ac:dyDescent="0.2">
      <c r="K62" t="s">
        <v>29</v>
      </c>
      <c r="L62">
        <v>-4.2253521126760569</v>
      </c>
      <c r="M62">
        <v>2074.5</v>
      </c>
      <c r="N62">
        <v>4811</v>
      </c>
    </row>
    <row r="63" spans="4:14" x14ac:dyDescent="0.2">
      <c r="K63" t="s">
        <v>33</v>
      </c>
      <c r="L63">
        <v>19.125683060109289</v>
      </c>
      <c r="M63">
        <v>3001.5</v>
      </c>
      <c r="N63">
        <v>7628</v>
      </c>
    </row>
    <row r="64" spans="4:14" x14ac:dyDescent="0.2">
      <c r="K64" t="s">
        <v>37</v>
      </c>
      <c r="L64">
        <v>-6.8571428571428568</v>
      </c>
      <c r="M64">
        <v>2110.5</v>
      </c>
      <c r="N64">
        <v>4631</v>
      </c>
    </row>
    <row r="65" spans="11:14" x14ac:dyDescent="0.2">
      <c r="K65" t="s">
        <v>41</v>
      </c>
      <c r="L65">
        <v>23.981900452488688</v>
      </c>
      <c r="M65">
        <v>2031.5</v>
      </c>
      <c r="N65">
        <v>4884</v>
      </c>
    </row>
    <row r="66" spans="11:14" x14ac:dyDescent="0.2">
      <c r="K66" t="s">
        <v>45</v>
      </c>
      <c r="L66">
        <v>18.357487922705314</v>
      </c>
      <c r="M66">
        <v>4248.5</v>
      </c>
      <c r="N66">
        <v>9451</v>
      </c>
    </row>
    <row r="67" spans="11:14" x14ac:dyDescent="0.2">
      <c r="K67" t="s">
        <v>49</v>
      </c>
      <c r="L67">
        <v>-2.0833333333333335</v>
      </c>
      <c r="M67">
        <v>4303.5</v>
      </c>
      <c r="N67">
        <v>8802</v>
      </c>
    </row>
    <row r="68" spans="11:14" x14ac:dyDescent="0.2">
      <c r="K68" t="s">
        <v>53</v>
      </c>
      <c r="L68">
        <v>-57.647058823529413</v>
      </c>
      <c r="M68">
        <v>4291.5</v>
      </c>
      <c r="N68">
        <v>8844</v>
      </c>
    </row>
    <row r="69" spans="11:14" x14ac:dyDescent="0.2">
      <c r="K69" t="s">
        <v>73</v>
      </c>
      <c r="L69">
        <v>-18.615903913653568</v>
      </c>
      <c r="M69">
        <v>2502.8333333333335</v>
      </c>
      <c r="N69">
        <v>5670.833333333333</v>
      </c>
    </row>
    <row r="70" spans="11:14" x14ac:dyDescent="0.2">
      <c r="K70" t="s">
        <v>75</v>
      </c>
      <c r="L70">
        <v>17.609518122983605</v>
      </c>
      <c r="M70">
        <v>1344.8821014002183</v>
      </c>
      <c r="N70">
        <v>3022.9131258881175</v>
      </c>
    </row>
    <row r="71" spans="11:14" x14ac:dyDescent="0.2">
      <c r="K71" t="s">
        <v>74</v>
      </c>
      <c r="L71">
        <v>-0.85374392978371816</v>
      </c>
      <c r="M71">
        <v>3331.1666666666665</v>
      </c>
      <c r="N71">
        <v>7373.333333333333</v>
      </c>
    </row>
    <row r="72" spans="11:14" x14ac:dyDescent="0.2">
      <c r="K72" t="s">
        <v>76</v>
      </c>
      <c r="L72">
        <v>30.489642403346576</v>
      </c>
      <c r="M72">
        <v>1095.1724369553258</v>
      </c>
      <c r="N72">
        <v>2111.9978850999501</v>
      </c>
    </row>
  </sheetData>
  <sortState xmlns:xlrd2="http://schemas.microsoft.com/office/spreadsheetml/2017/richdata2" ref="A20:C67">
    <sortCondition ref="A20:A6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Margolis</dc:creator>
  <cp:lastModifiedBy>Andrew Margolis</cp:lastModifiedBy>
  <dcterms:created xsi:type="dcterms:W3CDTF">2026-05-12T20:47:39Z</dcterms:created>
  <dcterms:modified xsi:type="dcterms:W3CDTF">2026-05-12T22:24:25Z</dcterms:modified>
</cp:coreProperties>
</file>